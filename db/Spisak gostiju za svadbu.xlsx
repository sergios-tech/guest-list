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zivnice" sheetId="1" r:id="rId5"/>
  </sheets>
  <definedNames>
    <definedName hidden="1" localSheetId="0" name="_xlnm._FilterDatabase">Pozivnice!$A$1:$I$88</definedName>
  </definedNames>
  <calcPr/>
</workbook>
</file>

<file path=xl/sharedStrings.xml><?xml version="1.0" encoding="utf-8"?>
<sst xmlns="http://schemas.openxmlformats.org/spreadsheetml/2006/main" count="224" uniqueCount="134">
  <si>
    <t>Gost</t>
  </si>
  <si>
    <t>Planirano</t>
  </si>
  <si>
    <t>Status</t>
  </si>
  <si>
    <t>Odrasli</t>
  </si>
  <si>
    <t>Deca</t>
  </si>
  <si>
    <t>Potvrdili</t>
  </si>
  <si>
    <t>Prognoza</t>
  </si>
  <si>
    <t>Datum</t>
  </si>
  <si>
    <t>Napomena</t>
  </si>
  <si>
    <t>Mihailo Stefanović</t>
  </si>
  <si>
    <t>Potvrđen dolazak</t>
  </si>
  <si>
    <t>Mihailo</t>
  </si>
  <si>
    <t>Pozvani (potreban odgovor)</t>
  </si>
  <si>
    <t>Baka Ljubica</t>
  </si>
  <si>
    <t>Potvrdili dolazak</t>
  </si>
  <si>
    <t>Vladimir Perišić</t>
  </si>
  <si>
    <t>Neda, Duda, Ivana, Peka, Vlada</t>
  </si>
  <si>
    <t>Nepozvani</t>
  </si>
  <si>
    <t>Dušan Perišić</t>
  </si>
  <si>
    <t xml:space="preserve">Dušan, Sanja </t>
  </si>
  <si>
    <t>Odbili</t>
  </si>
  <si>
    <t>Ljubinka Perišić</t>
  </si>
  <si>
    <t>Ukupno</t>
  </si>
  <si>
    <t>Čiča Miloje Stefanović</t>
  </si>
  <si>
    <t>Ivan Stefanović</t>
  </si>
  <si>
    <t>BROJ MESTA</t>
  </si>
  <si>
    <t>Igor Guza Stefanović</t>
  </si>
  <si>
    <t>Planiranih</t>
  </si>
  <si>
    <t>Ujko</t>
  </si>
  <si>
    <t>Darko Mitrović</t>
  </si>
  <si>
    <t>Dejan Mitrović</t>
  </si>
  <si>
    <t>Pozvan</t>
  </si>
  <si>
    <t>Mide</t>
  </si>
  <si>
    <t>Jovana planira troje</t>
  </si>
  <si>
    <t>Blaško i Slađa</t>
  </si>
  <si>
    <t>Jovana planira samo odrasle</t>
  </si>
  <si>
    <t>Tetka Vesna</t>
  </si>
  <si>
    <t>Tetka, FIlip i Neša</t>
  </si>
  <si>
    <t>Zoran</t>
  </si>
  <si>
    <t>Ujna Mira</t>
  </si>
  <si>
    <t>Čiča Željko</t>
  </si>
  <si>
    <t>Aleksandar Stefanović</t>
  </si>
  <si>
    <t>Aca, Anđela i strina</t>
  </si>
  <si>
    <t>Jasmina i Slaviša Mitrović</t>
  </si>
  <si>
    <t>Odbijeno</t>
  </si>
  <si>
    <t>Odmor u Norveškoj startuje 1. jula</t>
  </si>
  <si>
    <t>Aleksandar Mitrović</t>
  </si>
  <si>
    <t>Aleksandar i Sara</t>
  </si>
  <si>
    <t>Boban Sinđić</t>
  </si>
  <si>
    <t>Boban i baba rada</t>
  </si>
  <si>
    <t>Jelena i Mirko Stanković</t>
  </si>
  <si>
    <t>Tetka Jelena i Aleksandra</t>
  </si>
  <si>
    <t>Ana</t>
  </si>
  <si>
    <t>Drugarice</t>
  </si>
  <si>
    <t>Marija Jelić</t>
  </si>
  <si>
    <t>Kaća Aleksić</t>
  </si>
  <si>
    <t>Na moru</t>
  </si>
  <si>
    <t>Slavica Radojičić</t>
  </si>
  <si>
    <t>Dragana nikolic</t>
  </si>
  <si>
    <t>Anela i Bojan</t>
  </si>
  <si>
    <t>Jasna i Nikola</t>
  </si>
  <si>
    <t>Duška i Marko</t>
  </si>
  <si>
    <t>Tamara</t>
  </si>
  <si>
    <t>Koleginice</t>
  </si>
  <si>
    <t xml:space="preserve">Jasna </t>
  </si>
  <si>
    <t>Tanja</t>
  </si>
  <si>
    <t>Joca</t>
  </si>
  <si>
    <t>Biljana Đoković</t>
  </si>
  <si>
    <t>Bilja i Mladen</t>
  </si>
  <si>
    <t>Dada i Petar</t>
  </si>
  <si>
    <t>Tijana</t>
  </si>
  <si>
    <t>Jovana i Žarko</t>
  </si>
  <si>
    <t>Kumovi Stojići</t>
  </si>
  <si>
    <t>Maja i Miloš</t>
  </si>
  <si>
    <t>Potreban smeštaj u Siesti</t>
  </si>
  <si>
    <t>Snežana Anemona</t>
  </si>
  <si>
    <t>Bojovic  Dejan</t>
  </si>
  <si>
    <t>Komšiluk</t>
  </si>
  <si>
    <t>Bojovic Dragan</t>
  </si>
  <si>
    <t>Simić Milan</t>
  </si>
  <si>
    <t>Igor Jovanović</t>
  </si>
  <si>
    <t xml:space="preserve">Milija i Jelena </t>
  </si>
  <si>
    <t>Rendulić Ivana i Ivan</t>
  </si>
  <si>
    <t>Sneža i Moca</t>
  </si>
  <si>
    <t>Stefanović Kristina i Goran</t>
  </si>
  <si>
    <t>Ilić Milan i Jelena</t>
  </si>
  <si>
    <t>Rabasović Borko i Jelena</t>
  </si>
  <si>
    <t>Nikolić Marija</t>
  </si>
  <si>
    <t>Kuma</t>
  </si>
  <si>
    <t>Marina Marinkovic</t>
  </si>
  <si>
    <t>Nemanja i Vesna</t>
  </si>
  <si>
    <t>Radovan i Milica</t>
  </si>
  <si>
    <t>Danijela i Nenad</t>
  </si>
  <si>
    <t>Kika i Branko</t>
  </si>
  <si>
    <t>Bane i Teodora</t>
  </si>
  <si>
    <t>Sanja i Pepo</t>
  </si>
  <si>
    <t>Danka i Aco</t>
  </si>
  <si>
    <t>Komšinica Sneža</t>
  </si>
  <si>
    <t>Maja Ranković</t>
  </si>
  <si>
    <t>Ilija i Ana</t>
  </si>
  <si>
    <t>Goran i Dušica</t>
  </si>
  <si>
    <t>Irena i Anastasija</t>
  </si>
  <si>
    <t>Dragana Tadić</t>
  </si>
  <si>
    <t>Gumena i Branko</t>
  </si>
  <si>
    <t>?</t>
  </si>
  <si>
    <t>Spasic</t>
  </si>
  <si>
    <t>Pjevic</t>
  </si>
  <si>
    <t>Branko Jovanović</t>
  </si>
  <si>
    <t>siesta jednokrevetna</t>
  </si>
  <si>
    <t>Sendža</t>
  </si>
  <si>
    <t>siesta dvokrevetna</t>
  </si>
  <si>
    <t>Ivica Stojković</t>
  </si>
  <si>
    <t>Andrija UKP</t>
  </si>
  <si>
    <t>Andreja Blagojević</t>
  </si>
  <si>
    <t>Dragan Milošević</t>
  </si>
  <si>
    <t xml:space="preserve">siesta apartman </t>
  </si>
  <si>
    <t xml:space="preserve">marina milosevic </t>
  </si>
  <si>
    <t xml:space="preserve">siesta dvokrevetna </t>
  </si>
  <si>
    <t>Marko Utoka</t>
  </si>
  <si>
    <t>dvokrevetna siesta</t>
  </si>
  <si>
    <t>Andreja i Tijana</t>
  </si>
  <si>
    <t>Potrebno da potvrdi Tijanin dolazaksmetaj aria</t>
  </si>
  <si>
    <t>Staniša Josić</t>
  </si>
  <si>
    <t>Vladimir Peric</t>
  </si>
  <si>
    <t>potreban smestaj aria</t>
  </si>
  <si>
    <t>Strahinja Sarovic</t>
  </si>
  <si>
    <t>Miloš Konić</t>
  </si>
  <si>
    <t>U Grčkoj na letovanju tokom juna</t>
  </si>
  <si>
    <t>Vladimir Stevanović</t>
  </si>
  <si>
    <t>Maja ima rođendan u Velikoj Plani</t>
  </si>
  <si>
    <t>Đorđe Trifković</t>
  </si>
  <si>
    <t>Pravi svoju svadbu</t>
  </si>
  <si>
    <t>Lazar Milošević</t>
  </si>
  <si>
    <t>Ide kod Roke na svadbu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</si>
</sst>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.&quot;mm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0" fontId="1" numFmtId="0" xfId="0" applyAlignment="1" applyFont="1">
      <alignment readingOrder="0"/>
    </xf>
    <xf borderId="0" fillId="0" fontId="4" numFmtId="0" xfId="0" applyFont="1"/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3" fontId="5" numFmtId="0" xfId="0" applyAlignment="1" applyFont="1">
      <alignment readingOrder="0"/>
    </xf>
    <xf borderId="0" fillId="3" fontId="5" numFmtId="3" xfId="0" applyFont="1" applyNumberFormat="1"/>
    <xf borderId="0" fillId="0" fontId="5" numFmtId="3" xfId="0" applyFont="1" applyNumberFormat="1"/>
    <xf borderId="0" fillId="0" fontId="1" numFmtId="0" xfId="0" applyAlignment="1" applyFont="1">
      <alignment readingOrder="0" shrinkToFit="0" vertical="center" wrapText="0"/>
    </xf>
    <xf borderId="0" fillId="6" fontId="5" numFmtId="49" xfId="0" applyAlignment="1" applyFill="1" applyFont="1" applyNumberFormat="1">
      <alignment horizontal="right" readingOrder="0" shrinkToFit="0" vertical="center" wrapText="0"/>
    </xf>
    <xf borderId="0" fillId="6" fontId="4" numFmtId="0" xfId="0" applyAlignment="1" applyFont="1">
      <alignment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6" numFmtId="0" xfId="0" applyAlignment="1" applyFont="1">
      <alignment shrinkToFit="0" vertical="center" wrapText="0"/>
    </xf>
    <xf borderId="0" fillId="6" fontId="7" numFmtId="3" xfId="0" applyAlignment="1" applyFont="1" applyNumberFormat="1">
      <alignment shrinkToFit="0" vertical="center" wrapText="0"/>
    </xf>
    <xf borderId="0" fillId="6" fontId="1" numFmtId="164" xfId="0" applyAlignment="1" applyFont="1" applyNumberFormat="1">
      <alignment shrinkToFit="0" vertical="center" wrapText="0"/>
    </xf>
    <xf borderId="0" fillId="6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ozivni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88" displayName="POZIVNICE" name="POZIVNICE" id="1">
  <autoFilter ref="$A$1:$I$88"/>
  <tableColumns count="9">
    <tableColumn name="Gost" id="1"/>
    <tableColumn name="Planirano" id="2"/>
    <tableColumn name="Status" id="3"/>
    <tableColumn name="Odrasli" id="4"/>
    <tableColumn name="Deca" id="5"/>
    <tableColumn name="Potvrdili" id="6"/>
    <tableColumn name="Prognoza" id="7"/>
    <tableColumn name="Datum" id="8"/>
    <tableColumn name="Napomena" id="9"/>
  </tableColumns>
  <tableStyleInfo name="Pozivni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2.5"/>
    <col customWidth="1" min="3" max="3" width="18.75"/>
    <col customWidth="1" min="4" max="4" width="14.0"/>
    <col customWidth="1" min="5" max="5" width="9.25"/>
    <col customWidth="1" min="6" max="6" width="14.75"/>
    <col customWidth="1" min="7" max="8" width="13.63"/>
    <col customWidth="1" min="9" max="9" width="30.38"/>
    <col customWidth="1" min="10" max="10" width="15.13"/>
    <col customWidth="1" min="11" max="11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1.0</v>
      </c>
      <c r="C2" s="3" t="s">
        <v>10</v>
      </c>
      <c r="D2" s="3">
        <v>1.0</v>
      </c>
      <c r="E2" s="3"/>
      <c r="F2" s="4">
        <f t="shared" ref="F2:F87" si="1">D2+E2</f>
        <v>1</v>
      </c>
      <c r="G2" s="5">
        <v>1.0</v>
      </c>
      <c r="H2" s="6">
        <v>46147.0</v>
      </c>
      <c r="I2" s="2" t="s">
        <v>11</v>
      </c>
      <c r="K2" s="7" t="s">
        <v>12</v>
      </c>
      <c r="L2" s="8">
        <f>COUNTIF(C2:C87, "Pozvan")</f>
        <v>33</v>
      </c>
    </row>
    <row r="3" ht="22.5" customHeight="1">
      <c r="A3" s="2" t="s">
        <v>13</v>
      </c>
      <c r="B3" s="3">
        <v>1.0</v>
      </c>
      <c r="C3" s="3" t="s">
        <v>10</v>
      </c>
      <c r="D3" s="3">
        <v>1.0</v>
      </c>
      <c r="E3" s="3"/>
      <c r="F3" s="4">
        <f t="shared" si="1"/>
        <v>1</v>
      </c>
      <c r="G3" s="5"/>
      <c r="H3" s="6"/>
      <c r="I3" s="2"/>
      <c r="K3" s="9" t="s">
        <v>14</v>
      </c>
      <c r="L3" s="10">
        <f>COUNTIF(C2:C87, "Potvrđen dolazak")</f>
        <v>45</v>
      </c>
    </row>
    <row r="4" ht="22.5" customHeight="1">
      <c r="A4" s="2" t="s">
        <v>15</v>
      </c>
      <c r="B4" s="3">
        <v>5.0</v>
      </c>
      <c r="C4" s="3" t="s">
        <v>10</v>
      </c>
      <c r="D4" s="3">
        <v>2.0</v>
      </c>
      <c r="E4" s="3">
        <v>3.0</v>
      </c>
      <c r="F4" s="4">
        <f t="shared" si="1"/>
        <v>5</v>
      </c>
      <c r="G4" s="5">
        <v>5.0</v>
      </c>
      <c r="H4" s="6">
        <v>46147.0</v>
      </c>
      <c r="I4" s="2" t="s">
        <v>16</v>
      </c>
      <c r="K4" s="11" t="s">
        <v>17</v>
      </c>
      <c r="L4" s="12">
        <f>COUNTIF(C2:C87, "Nije pozvan")</f>
        <v>0</v>
      </c>
    </row>
    <row r="5" ht="22.5" customHeight="1">
      <c r="A5" s="2" t="s">
        <v>18</v>
      </c>
      <c r="B5" s="3">
        <v>2.0</v>
      </c>
      <c r="C5" s="3" t="s">
        <v>10</v>
      </c>
      <c r="D5" s="3">
        <v>2.0</v>
      </c>
      <c r="E5" s="3"/>
      <c r="F5" s="4">
        <f t="shared" si="1"/>
        <v>2</v>
      </c>
      <c r="G5" s="5">
        <v>2.0</v>
      </c>
      <c r="H5" s="6"/>
      <c r="I5" s="2" t="s">
        <v>19</v>
      </c>
      <c r="K5" s="13" t="s">
        <v>20</v>
      </c>
      <c r="L5" s="14">
        <f>COUNTIF(C2:C87, "Odbijeno")</f>
        <v>8</v>
      </c>
    </row>
    <row r="6" ht="22.5" customHeight="1">
      <c r="A6" s="2" t="s">
        <v>21</v>
      </c>
      <c r="B6" s="3">
        <v>1.0</v>
      </c>
      <c r="C6" s="3" t="s">
        <v>10</v>
      </c>
      <c r="D6" s="3">
        <v>1.0</v>
      </c>
      <c r="E6" s="3"/>
      <c r="F6" s="4">
        <f t="shared" si="1"/>
        <v>1</v>
      </c>
      <c r="G6" s="5">
        <v>1.0</v>
      </c>
      <c r="H6" s="6">
        <v>46150.0</v>
      </c>
      <c r="I6" s="2"/>
      <c r="K6" s="15" t="s">
        <v>22</v>
      </c>
      <c r="L6" s="16">
        <f>SUM(L2:L5)</f>
        <v>86</v>
      </c>
    </row>
    <row r="7" ht="22.5" customHeight="1">
      <c r="A7" s="2" t="s">
        <v>23</v>
      </c>
      <c r="B7" s="3">
        <v>2.0</v>
      </c>
      <c r="C7" s="3" t="s">
        <v>10</v>
      </c>
      <c r="D7" s="3">
        <v>2.0</v>
      </c>
      <c r="E7" s="3"/>
      <c r="F7" s="4">
        <f t="shared" si="1"/>
        <v>2</v>
      </c>
      <c r="G7" s="5">
        <v>2.0</v>
      </c>
      <c r="H7" s="17"/>
      <c r="I7" s="18"/>
    </row>
    <row r="8" ht="22.5" customHeight="1">
      <c r="A8" s="2" t="s">
        <v>24</v>
      </c>
      <c r="B8" s="3">
        <v>5.0</v>
      </c>
      <c r="C8" s="3" t="s">
        <v>10</v>
      </c>
      <c r="D8" s="3">
        <v>2.0</v>
      </c>
      <c r="E8" s="3">
        <v>3.0</v>
      </c>
      <c r="F8" s="4">
        <f t="shared" si="1"/>
        <v>5</v>
      </c>
      <c r="G8" s="5">
        <v>5.0</v>
      </c>
      <c r="H8" s="17"/>
      <c r="I8" s="18"/>
      <c r="K8" s="19" t="s">
        <v>25</v>
      </c>
    </row>
    <row r="9" ht="22.5" customHeight="1">
      <c r="A9" s="2" t="s">
        <v>26</v>
      </c>
      <c r="B9" s="3">
        <v>3.0</v>
      </c>
      <c r="C9" s="3" t="s">
        <v>10</v>
      </c>
      <c r="D9" s="3">
        <v>2.0</v>
      </c>
      <c r="E9" s="3">
        <v>1.0</v>
      </c>
      <c r="F9" s="4">
        <f t="shared" si="1"/>
        <v>3</v>
      </c>
      <c r="G9" s="5">
        <v>3.0</v>
      </c>
      <c r="H9" s="6">
        <v>46152.0</v>
      </c>
      <c r="I9" s="18"/>
      <c r="K9" s="15" t="s">
        <v>27</v>
      </c>
      <c r="L9" s="20">
        <f>B88</f>
        <v>175</v>
      </c>
    </row>
    <row r="10" ht="22.5" customHeight="1">
      <c r="A10" s="2" t="s">
        <v>28</v>
      </c>
      <c r="B10" s="3">
        <v>2.0</v>
      </c>
      <c r="C10" s="3" t="s">
        <v>10</v>
      </c>
      <c r="D10" s="3">
        <v>2.0</v>
      </c>
      <c r="E10" s="21"/>
      <c r="F10" s="4">
        <f t="shared" si="1"/>
        <v>2</v>
      </c>
      <c r="G10" s="5">
        <v>2.0</v>
      </c>
      <c r="H10" s="17"/>
      <c r="I10" s="18"/>
      <c r="K10" s="22" t="s">
        <v>5</v>
      </c>
      <c r="L10" s="23">
        <f>F88</f>
        <v>102</v>
      </c>
    </row>
    <row r="11" ht="22.5" customHeight="1">
      <c r="A11" s="2" t="s">
        <v>29</v>
      </c>
      <c r="B11" s="3">
        <v>4.0</v>
      </c>
      <c r="C11" s="3" t="s">
        <v>10</v>
      </c>
      <c r="D11" s="3">
        <v>2.0</v>
      </c>
      <c r="E11" s="3">
        <v>2.0</v>
      </c>
      <c r="F11" s="4">
        <f t="shared" si="1"/>
        <v>4</v>
      </c>
      <c r="G11" s="5">
        <v>4.0</v>
      </c>
      <c r="H11" s="17"/>
      <c r="I11" s="18"/>
      <c r="K11" s="19" t="s">
        <v>6</v>
      </c>
      <c r="L11" s="24">
        <f>G88</f>
        <v>158</v>
      </c>
    </row>
    <row r="12" ht="22.5" customHeight="1">
      <c r="A12" s="2" t="s">
        <v>30</v>
      </c>
      <c r="B12" s="3">
        <v>5.0</v>
      </c>
      <c r="C12" s="3" t="s">
        <v>31</v>
      </c>
      <c r="D12" s="25"/>
      <c r="E12" s="3"/>
      <c r="F12" s="4">
        <f t="shared" si="1"/>
        <v>0</v>
      </c>
      <c r="G12" s="5">
        <v>5.0</v>
      </c>
      <c r="H12" s="17"/>
      <c r="I12" s="18"/>
    </row>
    <row r="13" ht="22.5" customHeight="1">
      <c r="A13" s="2" t="s">
        <v>32</v>
      </c>
      <c r="B13" s="3">
        <v>3.0</v>
      </c>
      <c r="C13" s="3" t="s">
        <v>10</v>
      </c>
      <c r="D13" s="3">
        <v>2.0</v>
      </c>
      <c r="E13" s="3">
        <v>2.0</v>
      </c>
      <c r="F13" s="4">
        <f t="shared" si="1"/>
        <v>4</v>
      </c>
      <c r="G13" s="5">
        <v>3.0</v>
      </c>
      <c r="H13" s="17"/>
      <c r="I13" s="2" t="s">
        <v>33</v>
      </c>
    </row>
    <row r="14" ht="22.5" customHeight="1">
      <c r="A14" s="2" t="s">
        <v>34</v>
      </c>
      <c r="B14" s="3">
        <v>2.0</v>
      </c>
      <c r="C14" s="3" t="s">
        <v>10</v>
      </c>
      <c r="D14" s="3">
        <v>2.0</v>
      </c>
      <c r="E14" s="3"/>
      <c r="F14" s="4">
        <f t="shared" si="1"/>
        <v>2</v>
      </c>
      <c r="G14" s="5">
        <v>2.0</v>
      </c>
      <c r="H14" s="17"/>
      <c r="I14" s="2" t="s">
        <v>35</v>
      </c>
    </row>
    <row r="15" ht="22.5" customHeight="1">
      <c r="A15" s="2" t="s">
        <v>36</v>
      </c>
      <c r="B15" s="3">
        <v>3.0</v>
      </c>
      <c r="C15" s="3" t="s">
        <v>31</v>
      </c>
      <c r="D15" s="25"/>
      <c r="E15" s="21"/>
      <c r="F15" s="4">
        <f t="shared" si="1"/>
        <v>0</v>
      </c>
      <c r="G15" s="5">
        <v>2.0</v>
      </c>
      <c r="H15" s="17"/>
      <c r="I15" s="2" t="s">
        <v>37</v>
      </c>
    </row>
    <row r="16" ht="22.5" customHeight="1">
      <c r="A16" s="2" t="s">
        <v>38</v>
      </c>
      <c r="B16" s="3">
        <v>1.0</v>
      </c>
      <c r="C16" s="3" t="s">
        <v>10</v>
      </c>
      <c r="D16" s="3">
        <v>1.0</v>
      </c>
      <c r="E16" s="21"/>
      <c r="F16" s="4">
        <f t="shared" si="1"/>
        <v>1</v>
      </c>
      <c r="G16" s="5">
        <v>1.0</v>
      </c>
      <c r="H16" s="17"/>
      <c r="I16" s="2"/>
    </row>
    <row r="17" ht="22.5" customHeight="1">
      <c r="A17" s="2" t="s">
        <v>39</v>
      </c>
      <c r="B17" s="3">
        <v>2.0</v>
      </c>
      <c r="C17" s="3" t="s">
        <v>31</v>
      </c>
      <c r="D17" s="25"/>
      <c r="E17" s="21"/>
      <c r="F17" s="4">
        <f t="shared" si="1"/>
        <v>0</v>
      </c>
      <c r="G17" s="5">
        <v>2.0</v>
      </c>
      <c r="H17" s="17"/>
      <c r="I17" s="2"/>
    </row>
    <row r="18" ht="22.5" customHeight="1">
      <c r="A18" s="2" t="s">
        <v>40</v>
      </c>
      <c r="B18" s="3">
        <v>2.0</v>
      </c>
      <c r="C18" s="3" t="s">
        <v>31</v>
      </c>
      <c r="D18" s="25"/>
      <c r="E18" s="21"/>
      <c r="F18" s="4">
        <f t="shared" si="1"/>
        <v>0</v>
      </c>
      <c r="G18" s="5">
        <v>2.0</v>
      </c>
      <c r="H18" s="17"/>
      <c r="I18" s="18"/>
    </row>
    <row r="19" ht="22.5" customHeight="1">
      <c r="A19" s="2" t="s">
        <v>41</v>
      </c>
      <c r="B19" s="3">
        <v>3.0</v>
      </c>
      <c r="C19" s="3" t="s">
        <v>31</v>
      </c>
      <c r="D19" s="25"/>
      <c r="E19" s="21"/>
      <c r="F19" s="4">
        <f t="shared" si="1"/>
        <v>0</v>
      </c>
      <c r="G19" s="5">
        <v>3.0</v>
      </c>
      <c r="H19" s="17"/>
      <c r="I19" s="2" t="s">
        <v>42</v>
      </c>
    </row>
    <row r="20" ht="22.5" customHeight="1">
      <c r="A20" s="2" t="s">
        <v>43</v>
      </c>
      <c r="B20" s="3"/>
      <c r="C20" s="3" t="s">
        <v>44</v>
      </c>
      <c r="D20" s="25"/>
      <c r="E20" s="21"/>
      <c r="F20" s="4">
        <f t="shared" si="1"/>
        <v>0</v>
      </c>
      <c r="G20" s="5">
        <v>0.0</v>
      </c>
      <c r="H20" s="6">
        <v>46149.0</v>
      </c>
      <c r="I20" s="2" t="s">
        <v>45</v>
      </c>
    </row>
    <row r="21" ht="22.5" customHeight="1">
      <c r="A21" s="2" t="s">
        <v>46</v>
      </c>
      <c r="B21" s="3">
        <v>2.0</v>
      </c>
      <c r="C21" s="3" t="s">
        <v>31</v>
      </c>
      <c r="D21" s="25"/>
      <c r="E21" s="21"/>
      <c r="F21" s="4">
        <f t="shared" si="1"/>
        <v>0</v>
      </c>
      <c r="G21" s="5">
        <v>0.0</v>
      </c>
      <c r="H21" s="17"/>
      <c r="I21" s="2" t="s">
        <v>47</v>
      </c>
    </row>
    <row r="22" ht="22.5" customHeight="1">
      <c r="A22" s="2" t="s">
        <v>48</v>
      </c>
      <c r="B22" s="3">
        <v>2.0</v>
      </c>
      <c r="C22" s="3" t="s">
        <v>10</v>
      </c>
      <c r="D22" s="3">
        <v>2.0</v>
      </c>
      <c r="E22" s="21"/>
      <c r="F22" s="4">
        <f t="shared" si="1"/>
        <v>2</v>
      </c>
      <c r="G22" s="5">
        <v>2.0</v>
      </c>
      <c r="H22" s="17"/>
      <c r="I22" s="2" t="s">
        <v>49</v>
      </c>
    </row>
    <row r="23" ht="22.5" customHeight="1">
      <c r="A23" s="2" t="s">
        <v>50</v>
      </c>
      <c r="B23" s="3">
        <v>2.0</v>
      </c>
      <c r="C23" s="3" t="s">
        <v>10</v>
      </c>
      <c r="D23" s="3">
        <v>1.0</v>
      </c>
      <c r="E23" s="3">
        <v>1.0</v>
      </c>
      <c r="F23" s="4">
        <f t="shared" si="1"/>
        <v>2</v>
      </c>
      <c r="G23" s="5">
        <v>2.0</v>
      </c>
      <c r="H23" s="17"/>
      <c r="I23" s="2" t="s">
        <v>51</v>
      </c>
    </row>
    <row r="24" ht="22.5" customHeight="1">
      <c r="A24" s="2" t="s">
        <v>52</v>
      </c>
      <c r="B24" s="3">
        <v>2.0</v>
      </c>
      <c r="C24" s="3" t="s">
        <v>10</v>
      </c>
      <c r="D24" s="3">
        <v>1.0</v>
      </c>
      <c r="E24" s="3">
        <v>1.0</v>
      </c>
      <c r="F24" s="4">
        <f t="shared" si="1"/>
        <v>2</v>
      </c>
      <c r="G24" s="5">
        <v>2.0</v>
      </c>
      <c r="H24" s="17"/>
      <c r="I24" s="2" t="s">
        <v>53</v>
      </c>
    </row>
    <row r="25" ht="22.5" customHeight="1">
      <c r="A25" s="2" t="s">
        <v>54</v>
      </c>
      <c r="B25" s="3">
        <v>1.0</v>
      </c>
      <c r="C25" s="3" t="s">
        <v>10</v>
      </c>
      <c r="D25" s="3">
        <v>1.0</v>
      </c>
      <c r="E25" s="21"/>
      <c r="F25" s="4">
        <f t="shared" si="1"/>
        <v>1</v>
      </c>
      <c r="G25" s="5">
        <v>1.0</v>
      </c>
      <c r="H25" s="17"/>
      <c r="I25" s="18"/>
    </row>
    <row r="26" ht="22.5" customHeight="1">
      <c r="A26" s="2" t="s">
        <v>55</v>
      </c>
      <c r="B26" s="3"/>
      <c r="C26" s="3" t="s">
        <v>44</v>
      </c>
      <c r="D26" s="25"/>
      <c r="E26" s="21"/>
      <c r="F26" s="4">
        <f t="shared" si="1"/>
        <v>0</v>
      </c>
      <c r="G26" s="5">
        <v>0.0</v>
      </c>
      <c r="H26" s="6">
        <v>46152.0</v>
      </c>
      <c r="I26" s="2" t="s">
        <v>56</v>
      </c>
    </row>
    <row r="27" ht="22.5" customHeight="1">
      <c r="A27" s="2" t="s">
        <v>57</v>
      </c>
      <c r="B27" s="3">
        <v>1.0</v>
      </c>
      <c r="C27" s="3" t="s">
        <v>31</v>
      </c>
      <c r="D27" s="25"/>
      <c r="E27" s="21"/>
      <c r="F27" s="4">
        <f t="shared" si="1"/>
        <v>0</v>
      </c>
      <c r="G27" s="5">
        <v>1.0</v>
      </c>
      <c r="H27" s="17"/>
      <c r="I27" s="18"/>
    </row>
    <row r="28" ht="22.5" customHeight="1">
      <c r="A28" s="2" t="s">
        <v>58</v>
      </c>
      <c r="B28" s="3">
        <v>1.0</v>
      </c>
      <c r="C28" s="3" t="s">
        <v>10</v>
      </c>
      <c r="D28" s="3">
        <v>1.0</v>
      </c>
      <c r="E28" s="21"/>
      <c r="F28" s="4">
        <f t="shared" si="1"/>
        <v>1</v>
      </c>
      <c r="G28" s="5">
        <v>1.0</v>
      </c>
      <c r="H28" s="17"/>
      <c r="I28" s="18"/>
    </row>
    <row r="29" ht="22.5" customHeight="1">
      <c r="A29" s="2" t="s">
        <v>59</v>
      </c>
      <c r="B29" s="3">
        <v>2.0</v>
      </c>
      <c r="C29" s="3" t="s">
        <v>31</v>
      </c>
      <c r="D29" s="25"/>
      <c r="E29" s="21"/>
      <c r="F29" s="4">
        <f t="shared" si="1"/>
        <v>0</v>
      </c>
      <c r="G29" s="5">
        <v>2.0</v>
      </c>
      <c r="H29" s="17"/>
      <c r="I29" s="18"/>
    </row>
    <row r="30" ht="22.5" customHeight="1">
      <c r="A30" s="2" t="s">
        <v>60</v>
      </c>
      <c r="B30" s="3">
        <v>2.0</v>
      </c>
      <c r="C30" s="3" t="s">
        <v>10</v>
      </c>
      <c r="D30" s="3">
        <v>2.0</v>
      </c>
      <c r="E30" s="21"/>
      <c r="F30" s="4">
        <f t="shared" si="1"/>
        <v>2</v>
      </c>
      <c r="G30" s="5">
        <v>2.0</v>
      </c>
      <c r="H30" s="6">
        <v>46149.0</v>
      </c>
      <c r="I30" s="18"/>
    </row>
    <row r="31" ht="22.5" customHeight="1">
      <c r="A31" s="2" t="s">
        <v>61</v>
      </c>
      <c r="B31" s="3">
        <v>2.0</v>
      </c>
      <c r="C31" s="3" t="s">
        <v>31</v>
      </c>
      <c r="D31" s="25"/>
      <c r="E31" s="21"/>
      <c r="F31" s="4">
        <f t="shared" si="1"/>
        <v>0</v>
      </c>
      <c r="G31" s="5">
        <v>2.0</v>
      </c>
      <c r="H31" s="17"/>
      <c r="I31" s="18"/>
    </row>
    <row r="32" ht="22.5" customHeight="1">
      <c r="A32" s="2" t="s">
        <v>62</v>
      </c>
      <c r="B32" s="3">
        <v>1.0</v>
      </c>
      <c r="C32" s="3" t="s">
        <v>31</v>
      </c>
      <c r="D32" s="3">
        <v>1.0</v>
      </c>
      <c r="E32" s="21"/>
      <c r="F32" s="4">
        <f t="shared" si="1"/>
        <v>1</v>
      </c>
      <c r="G32" s="5">
        <v>4.0</v>
      </c>
      <c r="H32" s="17"/>
      <c r="I32" s="2" t="s">
        <v>63</v>
      </c>
    </row>
    <row r="33" ht="22.5" customHeight="1">
      <c r="A33" s="2" t="s">
        <v>64</v>
      </c>
      <c r="B33" s="3">
        <v>1.0</v>
      </c>
      <c r="C33" s="3" t="s">
        <v>10</v>
      </c>
      <c r="D33" s="3">
        <v>1.0</v>
      </c>
      <c r="E33" s="21"/>
      <c r="F33" s="4">
        <f t="shared" si="1"/>
        <v>1</v>
      </c>
      <c r="G33" s="5"/>
      <c r="H33" s="17"/>
      <c r="I33" s="2"/>
    </row>
    <row r="34" ht="22.5" customHeight="1">
      <c r="A34" s="2" t="s">
        <v>65</v>
      </c>
      <c r="B34" s="3">
        <v>1.0</v>
      </c>
      <c r="C34" s="3" t="s">
        <v>10</v>
      </c>
      <c r="D34" s="3">
        <v>1.0</v>
      </c>
      <c r="E34" s="21"/>
      <c r="F34" s="4">
        <f t="shared" si="1"/>
        <v>1</v>
      </c>
      <c r="G34" s="5"/>
      <c r="H34" s="17"/>
      <c r="I34" s="2"/>
    </row>
    <row r="35" ht="22.5" customHeight="1">
      <c r="A35" s="2" t="s">
        <v>66</v>
      </c>
      <c r="B35" s="3">
        <v>1.0</v>
      </c>
      <c r="C35" s="3" t="s">
        <v>31</v>
      </c>
      <c r="D35" s="3">
        <v>0.0</v>
      </c>
      <c r="E35" s="21"/>
      <c r="F35" s="4">
        <f t="shared" si="1"/>
        <v>0</v>
      </c>
      <c r="G35" s="5"/>
      <c r="H35" s="17"/>
      <c r="I35" s="2"/>
    </row>
    <row r="36" ht="22.5" customHeight="1">
      <c r="A36" s="2" t="s">
        <v>67</v>
      </c>
      <c r="B36" s="3">
        <v>2.0</v>
      </c>
      <c r="C36" s="3" t="s">
        <v>10</v>
      </c>
      <c r="D36" s="3">
        <v>2.0</v>
      </c>
      <c r="E36" s="21"/>
      <c r="F36" s="4">
        <f t="shared" si="1"/>
        <v>2</v>
      </c>
      <c r="G36" s="5">
        <v>2.0</v>
      </c>
      <c r="H36" s="6">
        <v>46149.0</v>
      </c>
      <c r="I36" s="18"/>
    </row>
    <row r="37" ht="22.5" customHeight="1">
      <c r="A37" s="2" t="s">
        <v>68</v>
      </c>
      <c r="B37" s="3">
        <v>2.0</v>
      </c>
      <c r="C37" s="3" t="s">
        <v>10</v>
      </c>
      <c r="D37" s="3">
        <v>2.0</v>
      </c>
      <c r="E37" s="21"/>
      <c r="F37" s="4">
        <f t="shared" si="1"/>
        <v>2</v>
      </c>
      <c r="G37" s="5">
        <v>2.0</v>
      </c>
      <c r="H37" s="17"/>
      <c r="I37" s="18"/>
    </row>
    <row r="38" ht="22.5" customHeight="1">
      <c r="A38" s="2" t="s">
        <v>69</v>
      </c>
      <c r="B38" s="3">
        <v>2.0</v>
      </c>
      <c r="C38" s="3" t="s">
        <v>31</v>
      </c>
      <c r="D38" s="25"/>
      <c r="E38" s="21"/>
      <c r="F38" s="4">
        <f t="shared" si="1"/>
        <v>0</v>
      </c>
      <c r="G38" s="5">
        <v>2.0</v>
      </c>
      <c r="H38" s="17"/>
      <c r="I38" s="18"/>
    </row>
    <row r="39" ht="22.5" customHeight="1">
      <c r="A39" s="2" t="s">
        <v>70</v>
      </c>
      <c r="B39" s="3">
        <v>2.0</v>
      </c>
      <c r="C39" s="3" t="s">
        <v>31</v>
      </c>
      <c r="D39" s="25"/>
      <c r="E39" s="21"/>
      <c r="F39" s="4">
        <f t="shared" si="1"/>
        <v>0</v>
      </c>
      <c r="G39" s="5">
        <v>2.0</v>
      </c>
      <c r="H39" s="6">
        <v>46149.0</v>
      </c>
      <c r="I39" s="18"/>
    </row>
    <row r="40" ht="22.5" customHeight="1">
      <c r="A40" s="2" t="s">
        <v>71</v>
      </c>
      <c r="B40" s="3">
        <v>2.0</v>
      </c>
      <c r="C40" s="3" t="s">
        <v>10</v>
      </c>
      <c r="D40" s="3">
        <v>2.0</v>
      </c>
      <c r="E40" s="21"/>
      <c r="F40" s="4">
        <f t="shared" si="1"/>
        <v>2</v>
      </c>
      <c r="G40" s="5">
        <v>2.0</v>
      </c>
      <c r="H40" s="17"/>
      <c r="I40" s="18"/>
    </row>
    <row r="41" ht="22.5" customHeight="1">
      <c r="A41" s="2" t="s">
        <v>72</v>
      </c>
      <c r="B41" s="3">
        <v>4.0</v>
      </c>
      <c r="C41" s="3" t="s">
        <v>10</v>
      </c>
      <c r="D41" s="3">
        <v>1.0</v>
      </c>
      <c r="E41" s="3">
        <v>2.0</v>
      </c>
      <c r="F41" s="4">
        <f t="shared" si="1"/>
        <v>3</v>
      </c>
      <c r="G41" s="5">
        <v>4.0</v>
      </c>
      <c r="H41" s="17"/>
      <c r="I41" s="18"/>
    </row>
    <row r="42" ht="22.5" customHeight="1">
      <c r="A42" s="2" t="s">
        <v>73</v>
      </c>
      <c r="B42" s="3">
        <v>2.0</v>
      </c>
      <c r="C42" s="3" t="s">
        <v>10</v>
      </c>
      <c r="D42" s="3">
        <v>2.0</v>
      </c>
      <c r="E42" s="21"/>
      <c r="F42" s="4">
        <f t="shared" si="1"/>
        <v>2</v>
      </c>
      <c r="G42" s="5">
        <v>2.0</v>
      </c>
      <c r="H42" s="17"/>
      <c r="I42" s="2" t="s">
        <v>74</v>
      </c>
    </row>
    <row r="43" ht="22.5" customHeight="1">
      <c r="A43" s="2" t="s">
        <v>75</v>
      </c>
      <c r="B43" s="3">
        <v>3.0</v>
      </c>
      <c r="C43" s="3" t="s">
        <v>31</v>
      </c>
      <c r="D43" s="25"/>
      <c r="E43" s="21"/>
      <c r="F43" s="4">
        <f t="shared" si="1"/>
        <v>0</v>
      </c>
      <c r="G43" s="5">
        <v>2.0</v>
      </c>
      <c r="H43" s="17"/>
      <c r="I43" s="18"/>
    </row>
    <row r="44" ht="22.5" customHeight="1">
      <c r="A44" s="2" t="s">
        <v>76</v>
      </c>
      <c r="B44" s="3">
        <v>2.0</v>
      </c>
      <c r="C44" s="3" t="s">
        <v>31</v>
      </c>
      <c r="D44" s="25"/>
      <c r="E44" s="21"/>
      <c r="F44" s="4">
        <f t="shared" si="1"/>
        <v>0</v>
      </c>
      <c r="G44" s="5">
        <v>2.0</v>
      </c>
      <c r="H44" s="17"/>
      <c r="I44" s="2" t="s">
        <v>77</v>
      </c>
    </row>
    <row r="45" ht="22.5" customHeight="1">
      <c r="A45" s="2" t="s">
        <v>78</v>
      </c>
      <c r="B45" s="3">
        <v>2.0</v>
      </c>
      <c r="C45" s="3" t="s">
        <v>31</v>
      </c>
      <c r="D45" s="25"/>
      <c r="E45" s="21"/>
      <c r="F45" s="4">
        <f t="shared" si="1"/>
        <v>0</v>
      </c>
      <c r="G45" s="5">
        <v>2.0</v>
      </c>
      <c r="H45" s="17"/>
      <c r="I45" s="18"/>
    </row>
    <row r="46" ht="22.5" customHeight="1">
      <c r="A46" s="2" t="s">
        <v>79</v>
      </c>
      <c r="B46" s="3">
        <v>3.0</v>
      </c>
      <c r="C46" s="3" t="s">
        <v>10</v>
      </c>
      <c r="D46" s="3">
        <v>2.0</v>
      </c>
      <c r="E46" s="3">
        <v>1.0</v>
      </c>
      <c r="F46" s="4">
        <f t="shared" si="1"/>
        <v>3</v>
      </c>
      <c r="G46" s="5">
        <v>3.0</v>
      </c>
      <c r="H46" s="17"/>
      <c r="I46" s="18"/>
    </row>
    <row r="47" ht="22.5" customHeight="1">
      <c r="A47" s="2" t="s">
        <v>80</v>
      </c>
      <c r="B47" s="3">
        <v>4.0</v>
      </c>
      <c r="C47" s="3" t="s">
        <v>10</v>
      </c>
      <c r="D47" s="3">
        <v>2.0</v>
      </c>
      <c r="E47" s="3">
        <v>3.0</v>
      </c>
      <c r="F47" s="4">
        <f t="shared" si="1"/>
        <v>5</v>
      </c>
      <c r="G47" s="5">
        <v>4.0</v>
      </c>
      <c r="H47" s="17"/>
      <c r="I47" s="18"/>
    </row>
    <row r="48" ht="22.5" customHeight="1">
      <c r="A48" s="2" t="s">
        <v>81</v>
      </c>
      <c r="B48" s="3">
        <v>2.0</v>
      </c>
      <c r="C48" s="3" t="s">
        <v>10</v>
      </c>
      <c r="D48" s="3">
        <v>2.0</v>
      </c>
      <c r="E48" s="21"/>
      <c r="F48" s="4">
        <f t="shared" si="1"/>
        <v>2</v>
      </c>
      <c r="G48" s="5"/>
      <c r="H48" s="17"/>
      <c r="I48" s="18"/>
    </row>
    <row r="49" ht="22.5" customHeight="1">
      <c r="A49" s="2" t="s">
        <v>82</v>
      </c>
      <c r="B49" s="3">
        <v>2.0</v>
      </c>
      <c r="C49" s="3" t="s">
        <v>10</v>
      </c>
      <c r="D49" s="3">
        <v>2.0</v>
      </c>
      <c r="E49" s="3">
        <v>1.0</v>
      </c>
      <c r="F49" s="4">
        <f t="shared" si="1"/>
        <v>3</v>
      </c>
      <c r="G49" s="5">
        <v>2.0</v>
      </c>
      <c r="H49" s="17"/>
      <c r="I49" s="18"/>
    </row>
    <row r="50" ht="22.5" customHeight="1">
      <c r="A50" s="2" t="s">
        <v>83</v>
      </c>
      <c r="B50" s="3">
        <v>2.0</v>
      </c>
      <c r="C50" s="3" t="s">
        <v>31</v>
      </c>
      <c r="D50" s="25"/>
      <c r="E50" s="21"/>
      <c r="F50" s="4">
        <f t="shared" si="1"/>
        <v>0</v>
      </c>
      <c r="G50" s="5">
        <v>2.0</v>
      </c>
      <c r="H50" s="17"/>
      <c r="I50" s="18"/>
    </row>
    <row r="51" ht="22.5" customHeight="1">
      <c r="A51" s="2" t="s">
        <v>84</v>
      </c>
      <c r="B51" s="3">
        <v>3.0</v>
      </c>
      <c r="C51" s="3" t="s">
        <v>10</v>
      </c>
      <c r="D51" s="3">
        <v>2.0</v>
      </c>
      <c r="E51" s="3">
        <v>1.0</v>
      </c>
      <c r="F51" s="4">
        <f t="shared" si="1"/>
        <v>3</v>
      </c>
      <c r="G51" s="5">
        <v>3.0</v>
      </c>
      <c r="H51" s="6">
        <v>46149.0</v>
      </c>
      <c r="I51" s="18"/>
    </row>
    <row r="52" ht="22.5" customHeight="1">
      <c r="A52" s="2" t="s">
        <v>85</v>
      </c>
      <c r="B52" s="3">
        <v>2.0</v>
      </c>
      <c r="C52" s="3" t="s">
        <v>31</v>
      </c>
      <c r="D52" s="25"/>
      <c r="E52" s="21"/>
      <c r="F52" s="4">
        <f t="shared" si="1"/>
        <v>0</v>
      </c>
      <c r="G52" s="5">
        <v>2.0</v>
      </c>
      <c r="H52" s="17"/>
      <c r="I52" s="18"/>
    </row>
    <row r="53" ht="22.5" customHeight="1">
      <c r="A53" s="2" t="s">
        <v>86</v>
      </c>
      <c r="B53" s="3">
        <v>3.0</v>
      </c>
      <c r="C53" s="3" t="s">
        <v>10</v>
      </c>
      <c r="D53" s="3">
        <v>2.0</v>
      </c>
      <c r="E53" s="21"/>
      <c r="F53" s="4">
        <f t="shared" si="1"/>
        <v>2</v>
      </c>
      <c r="G53" s="5">
        <v>2.0</v>
      </c>
      <c r="H53" s="17"/>
      <c r="I53" s="18"/>
    </row>
    <row r="54" ht="22.5" customHeight="1">
      <c r="A54" s="2" t="s">
        <v>87</v>
      </c>
      <c r="B54" s="3">
        <v>3.0</v>
      </c>
      <c r="C54" s="3" t="s">
        <v>10</v>
      </c>
      <c r="D54" s="3">
        <v>3.0</v>
      </c>
      <c r="E54" s="21"/>
      <c r="F54" s="4">
        <f t="shared" si="1"/>
        <v>3</v>
      </c>
      <c r="G54" s="5">
        <v>3.0</v>
      </c>
      <c r="H54" s="17"/>
      <c r="I54" s="2" t="s">
        <v>88</v>
      </c>
    </row>
    <row r="55" ht="22.5" customHeight="1">
      <c r="A55" s="2" t="s">
        <v>89</v>
      </c>
      <c r="B55" s="3">
        <v>3.0</v>
      </c>
      <c r="C55" s="3" t="s">
        <v>31</v>
      </c>
      <c r="D55" s="25"/>
      <c r="E55" s="21"/>
      <c r="F55" s="4">
        <f t="shared" si="1"/>
        <v>0</v>
      </c>
      <c r="G55" s="5"/>
      <c r="H55" s="17"/>
      <c r="I55" s="2"/>
    </row>
    <row r="56" ht="22.5" customHeight="1">
      <c r="A56" s="2" t="s">
        <v>90</v>
      </c>
      <c r="B56" s="3">
        <v>2.0</v>
      </c>
      <c r="C56" s="3" t="s">
        <v>10</v>
      </c>
      <c r="D56" s="3">
        <v>2.0</v>
      </c>
      <c r="E56" s="21"/>
      <c r="F56" s="4">
        <f t="shared" si="1"/>
        <v>2</v>
      </c>
      <c r="G56" s="5">
        <v>2.0</v>
      </c>
      <c r="H56" s="6">
        <v>46151.0</v>
      </c>
      <c r="I56" s="18"/>
    </row>
    <row r="57" ht="22.5" customHeight="1">
      <c r="A57" s="2" t="s">
        <v>91</v>
      </c>
      <c r="B57" s="3">
        <v>2.0</v>
      </c>
      <c r="C57" s="3" t="s">
        <v>31</v>
      </c>
      <c r="D57" s="25"/>
      <c r="E57" s="21"/>
      <c r="F57" s="4">
        <f t="shared" si="1"/>
        <v>0</v>
      </c>
      <c r="G57" s="5">
        <v>2.0</v>
      </c>
      <c r="H57" s="17"/>
      <c r="I57" s="18"/>
    </row>
    <row r="58" ht="22.5" customHeight="1">
      <c r="A58" s="2" t="s">
        <v>92</v>
      </c>
      <c r="B58" s="3">
        <v>2.0</v>
      </c>
      <c r="C58" s="3" t="s">
        <v>10</v>
      </c>
      <c r="D58" s="3">
        <v>2.0</v>
      </c>
      <c r="E58" s="21"/>
      <c r="F58" s="4">
        <f t="shared" si="1"/>
        <v>2</v>
      </c>
      <c r="G58" s="5">
        <v>2.0</v>
      </c>
      <c r="H58" s="6">
        <v>46149.0</v>
      </c>
      <c r="I58" s="18"/>
    </row>
    <row r="59" ht="22.5" customHeight="1">
      <c r="A59" s="2" t="s">
        <v>93</v>
      </c>
      <c r="B59" s="3">
        <v>2.0</v>
      </c>
      <c r="C59" s="3" t="s">
        <v>31</v>
      </c>
      <c r="D59" s="25"/>
      <c r="E59" s="21"/>
      <c r="F59" s="4">
        <f t="shared" si="1"/>
        <v>0</v>
      </c>
      <c r="G59" s="5">
        <v>3.0</v>
      </c>
      <c r="H59" s="17"/>
      <c r="I59" s="18"/>
    </row>
    <row r="60" ht="22.5" customHeight="1">
      <c r="A60" s="2" t="s">
        <v>94</v>
      </c>
      <c r="B60" s="3">
        <v>2.0</v>
      </c>
      <c r="C60" s="3" t="s">
        <v>10</v>
      </c>
      <c r="D60" s="3">
        <v>2.0</v>
      </c>
      <c r="E60" s="21"/>
      <c r="F60" s="4">
        <f t="shared" si="1"/>
        <v>2</v>
      </c>
      <c r="G60" s="5">
        <v>2.0</v>
      </c>
      <c r="H60" s="6">
        <v>46149.0</v>
      </c>
      <c r="I60" s="18"/>
    </row>
    <row r="61" ht="22.5" customHeight="1">
      <c r="A61" s="2" t="s">
        <v>95</v>
      </c>
      <c r="B61" s="3">
        <v>2.0</v>
      </c>
      <c r="C61" s="3" t="s">
        <v>10</v>
      </c>
      <c r="D61" s="3">
        <v>2.0</v>
      </c>
      <c r="E61" s="21"/>
      <c r="F61" s="4">
        <f t="shared" si="1"/>
        <v>2</v>
      </c>
      <c r="G61" s="5">
        <v>2.0</v>
      </c>
      <c r="H61" s="17"/>
      <c r="I61" s="18"/>
    </row>
    <row r="62" ht="22.5" customHeight="1">
      <c r="A62" s="2" t="s">
        <v>96</v>
      </c>
      <c r="B62" s="3">
        <v>2.0</v>
      </c>
      <c r="C62" s="3" t="s">
        <v>10</v>
      </c>
      <c r="D62" s="3">
        <v>1.0</v>
      </c>
      <c r="E62" s="21"/>
      <c r="F62" s="4">
        <f t="shared" si="1"/>
        <v>1</v>
      </c>
      <c r="G62" s="5">
        <v>1.0</v>
      </c>
      <c r="H62" s="17"/>
      <c r="I62" s="18"/>
    </row>
    <row r="63" ht="22.5" customHeight="1">
      <c r="A63" s="2" t="s">
        <v>97</v>
      </c>
      <c r="B63" s="3">
        <v>1.0</v>
      </c>
      <c r="C63" s="3" t="s">
        <v>31</v>
      </c>
      <c r="D63" s="25"/>
      <c r="E63" s="21"/>
      <c r="F63" s="4">
        <f t="shared" si="1"/>
        <v>0</v>
      </c>
      <c r="G63" s="5">
        <v>1.0</v>
      </c>
      <c r="H63" s="17"/>
      <c r="I63" s="18"/>
    </row>
    <row r="64" ht="22.5" customHeight="1">
      <c r="A64" s="2" t="s">
        <v>98</v>
      </c>
      <c r="B64" s="3">
        <v>2.0</v>
      </c>
      <c r="C64" s="3" t="s">
        <v>31</v>
      </c>
      <c r="D64" s="21"/>
      <c r="E64" s="21"/>
      <c r="F64" s="4">
        <f t="shared" si="1"/>
        <v>0</v>
      </c>
      <c r="G64" s="5">
        <v>2.0</v>
      </c>
      <c r="H64" s="17"/>
      <c r="I64" s="18"/>
    </row>
    <row r="65" ht="22.5" customHeight="1">
      <c r="A65" s="2" t="s">
        <v>99</v>
      </c>
      <c r="B65" s="3">
        <v>2.0</v>
      </c>
      <c r="C65" s="3" t="s">
        <v>31</v>
      </c>
      <c r="D65" s="21"/>
      <c r="E65" s="21"/>
      <c r="F65" s="4">
        <f t="shared" si="1"/>
        <v>0</v>
      </c>
      <c r="G65" s="5">
        <v>2.0</v>
      </c>
      <c r="H65" s="17"/>
      <c r="I65" s="18"/>
    </row>
    <row r="66" ht="22.5" customHeight="1">
      <c r="A66" s="2" t="s">
        <v>100</v>
      </c>
      <c r="B66" s="3">
        <v>3.0</v>
      </c>
      <c r="C66" s="3" t="s">
        <v>31</v>
      </c>
      <c r="D66" s="21"/>
      <c r="E66" s="21"/>
      <c r="F66" s="4">
        <f t="shared" si="1"/>
        <v>0</v>
      </c>
      <c r="G66" s="5">
        <v>3.0</v>
      </c>
      <c r="H66" s="17"/>
      <c r="I66" s="2"/>
    </row>
    <row r="67" ht="22.5" customHeight="1">
      <c r="A67" s="2" t="s">
        <v>101</v>
      </c>
      <c r="B67" s="3">
        <v>2.0</v>
      </c>
      <c r="C67" s="3" t="s">
        <v>31</v>
      </c>
      <c r="D67" s="21"/>
      <c r="E67" s="21"/>
      <c r="F67" s="4">
        <f t="shared" si="1"/>
        <v>0</v>
      </c>
      <c r="G67" s="5">
        <v>2.0</v>
      </c>
      <c r="H67" s="17"/>
      <c r="I67" s="2"/>
    </row>
    <row r="68" ht="22.5" customHeight="1">
      <c r="A68" s="2" t="s">
        <v>102</v>
      </c>
      <c r="B68" s="3">
        <v>1.0</v>
      </c>
      <c r="C68" s="3" t="s">
        <v>10</v>
      </c>
      <c r="D68" s="3">
        <v>1.0</v>
      </c>
      <c r="E68" s="21"/>
      <c r="F68" s="4">
        <f t="shared" si="1"/>
        <v>1</v>
      </c>
      <c r="G68" s="5">
        <v>1.0</v>
      </c>
      <c r="H68" s="17"/>
      <c r="I68" s="18"/>
    </row>
    <row r="69" ht="22.5" customHeight="1">
      <c r="A69" s="2" t="s">
        <v>103</v>
      </c>
      <c r="B69" s="3">
        <v>2.0</v>
      </c>
      <c r="C69" s="3" t="s">
        <v>44</v>
      </c>
      <c r="D69" s="21"/>
      <c r="E69" s="21"/>
      <c r="F69" s="4">
        <f t="shared" si="1"/>
        <v>0</v>
      </c>
      <c r="G69" s="17"/>
      <c r="H69" s="17"/>
      <c r="I69" s="2" t="s">
        <v>104</v>
      </c>
    </row>
    <row r="70" ht="22.5" customHeight="1">
      <c r="A70" s="2" t="s">
        <v>105</v>
      </c>
      <c r="B70" s="3">
        <v>1.0</v>
      </c>
      <c r="C70" s="3" t="s">
        <v>31</v>
      </c>
      <c r="D70" s="21"/>
      <c r="E70" s="21"/>
      <c r="F70" s="4">
        <f t="shared" si="1"/>
        <v>0</v>
      </c>
      <c r="G70" s="17"/>
      <c r="H70" s="17"/>
      <c r="I70" s="2"/>
    </row>
    <row r="71" ht="22.5" customHeight="1">
      <c r="A71" s="2" t="s">
        <v>106</v>
      </c>
      <c r="B71" s="3">
        <v>1.0</v>
      </c>
      <c r="C71" s="3" t="s">
        <v>31</v>
      </c>
      <c r="D71" s="21"/>
      <c r="E71" s="21"/>
      <c r="F71" s="4">
        <f t="shared" si="1"/>
        <v>0</v>
      </c>
      <c r="G71" s="17"/>
      <c r="H71" s="17"/>
      <c r="I71" s="2"/>
    </row>
    <row r="72" ht="22.5" customHeight="1">
      <c r="A72" s="2" t="s">
        <v>107</v>
      </c>
      <c r="B72" s="3">
        <v>1.0</v>
      </c>
      <c r="C72" s="3" t="s">
        <v>10</v>
      </c>
      <c r="D72" s="3">
        <v>1.0</v>
      </c>
      <c r="E72" s="21"/>
      <c r="F72" s="4">
        <f t="shared" si="1"/>
        <v>1</v>
      </c>
      <c r="G72" s="5">
        <v>1.0</v>
      </c>
      <c r="H72" s="6">
        <v>46113.0</v>
      </c>
      <c r="I72" s="2" t="s">
        <v>108</v>
      </c>
    </row>
    <row r="73" ht="22.5" customHeight="1">
      <c r="A73" s="2" t="s">
        <v>109</v>
      </c>
      <c r="B73" s="3">
        <v>2.0</v>
      </c>
      <c r="C73" s="3" t="s">
        <v>10</v>
      </c>
      <c r="D73" s="3">
        <v>2.0</v>
      </c>
      <c r="E73" s="21"/>
      <c r="F73" s="4">
        <f t="shared" si="1"/>
        <v>2</v>
      </c>
      <c r="G73" s="5">
        <v>2.0</v>
      </c>
      <c r="H73" s="6">
        <v>46149.0</v>
      </c>
      <c r="I73" s="2" t="s">
        <v>110</v>
      </c>
    </row>
    <row r="74" ht="22.5" customHeight="1">
      <c r="A74" s="2" t="s">
        <v>111</v>
      </c>
      <c r="B74" s="3">
        <v>2.0</v>
      </c>
      <c r="C74" s="3" t="s">
        <v>10</v>
      </c>
      <c r="D74" s="3">
        <v>2.0</v>
      </c>
      <c r="E74" s="21"/>
      <c r="F74" s="4">
        <f t="shared" si="1"/>
        <v>2</v>
      </c>
      <c r="G74" s="5">
        <v>2.0</v>
      </c>
      <c r="H74" s="6">
        <v>46150.0</v>
      </c>
      <c r="I74" s="2" t="s">
        <v>110</v>
      </c>
    </row>
    <row r="75" ht="22.5" customHeight="1">
      <c r="A75" s="2" t="s">
        <v>112</v>
      </c>
      <c r="B75" s="3">
        <v>3.0</v>
      </c>
      <c r="C75" s="3" t="s">
        <v>31</v>
      </c>
      <c r="D75" s="3">
        <v>3.0</v>
      </c>
      <c r="E75" s="3"/>
      <c r="F75" s="4">
        <f t="shared" si="1"/>
        <v>3</v>
      </c>
      <c r="G75" s="5">
        <v>3.0</v>
      </c>
      <c r="H75" s="6">
        <v>46150.0</v>
      </c>
      <c r="I75" s="2" t="s">
        <v>110</v>
      </c>
    </row>
    <row r="76" ht="22.5" customHeight="1">
      <c r="A76" s="2" t="s">
        <v>113</v>
      </c>
      <c r="B76" s="3">
        <v>2.0</v>
      </c>
      <c r="C76" s="3" t="s">
        <v>44</v>
      </c>
      <c r="D76" s="25"/>
      <c r="E76" s="21"/>
      <c r="F76" s="4">
        <f t="shared" si="1"/>
        <v>0</v>
      </c>
      <c r="G76" s="5">
        <v>0.0</v>
      </c>
      <c r="H76" s="17"/>
      <c r="I76" s="2"/>
    </row>
    <row r="77" ht="22.5" customHeight="1">
      <c r="A77" s="2" t="s">
        <v>114</v>
      </c>
      <c r="B77" s="3">
        <v>2.0</v>
      </c>
      <c r="C77" s="3" t="s">
        <v>10</v>
      </c>
      <c r="D77" s="3">
        <v>2.0</v>
      </c>
      <c r="E77" s="21"/>
      <c r="F77" s="4">
        <f t="shared" si="1"/>
        <v>2</v>
      </c>
      <c r="G77" s="5">
        <v>2.0</v>
      </c>
      <c r="H77" s="6">
        <v>46158.0</v>
      </c>
      <c r="I77" s="2" t="s">
        <v>115</v>
      </c>
    </row>
    <row r="78" ht="22.5" customHeight="1">
      <c r="A78" s="2" t="s">
        <v>116</v>
      </c>
      <c r="B78" s="3">
        <v>3.0</v>
      </c>
      <c r="C78" s="3" t="s">
        <v>10</v>
      </c>
      <c r="D78" s="3">
        <v>1.0</v>
      </c>
      <c r="E78" s="3">
        <v>2.0</v>
      </c>
      <c r="F78" s="4">
        <f t="shared" si="1"/>
        <v>3</v>
      </c>
      <c r="G78" s="5">
        <v>3.0</v>
      </c>
      <c r="H78" s="6"/>
      <c r="I78" s="2" t="s">
        <v>117</v>
      </c>
    </row>
    <row r="79" ht="22.5" customHeight="1">
      <c r="A79" s="2" t="s">
        <v>118</v>
      </c>
      <c r="B79" s="3">
        <v>3.0</v>
      </c>
      <c r="C79" s="3" t="s">
        <v>31</v>
      </c>
      <c r="D79" s="25"/>
      <c r="E79" s="21"/>
      <c r="F79" s="4">
        <f t="shared" si="1"/>
        <v>0</v>
      </c>
      <c r="G79" s="5">
        <v>3.0</v>
      </c>
      <c r="H79" s="17"/>
      <c r="I79" s="2" t="s">
        <v>119</v>
      </c>
    </row>
    <row r="80" ht="22.5" customHeight="1">
      <c r="A80" s="2" t="s">
        <v>120</v>
      </c>
      <c r="B80" s="3">
        <v>2.0</v>
      </c>
      <c r="C80" s="3" t="s">
        <v>10</v>
      </c>
      <c r="D80" s="3">
        <v>1.0</v>
      </c>
      <c r="E80" s="21"/>
      <c r="F80" s="4">
        <f t="shared" si="1"/>
        <v>1</v>
      </c>
      <c r="G80" s="5">
        <v>2.0</v>
      </c>
      <c r="H80" s="17"/>
      <c r="I80" s="2" t="s">
        <v>121</v>
      </c>
    </row>
    <row r="81" ht="22.5" customHeight="1">
      <c r="A81" s="2" t="s">
        <v>122</v>
      </c>
      <c r="B81" s="3">
        <v>3.0</v>
      </c>
      <c r="C81" s="3" t="s">
        <v>31</v>
      </c>
      <c r="D81" s="25"/>
      <c r="E81" s="21"/>
      <c r="F81" s="4">
        <f t="shared" si="1"/>
        <v>0</v>
      </c>
      <c r="G81" s="5">
        <v>3.0</v>
      </c>
      <c r="H81" s="6">
        <v>46154.0</v>
      </c>
      <c r="I81" s="2"/>
    </row>
    <row r="82" ht="22.5" customHeight="1">
      <c r="A82" s="2" t="s">
        <v>123</v>
      </c>
      <c r="B82" s="3">
        <v>3.0</v>
      </c>
      <c r="C82" s="3" t="s">
        <v>31</v>
      </c>
      <c r="D82" s="25"/>
      <c r="E82" s="21"/>
      <c r="F82" s="4">
        <f t="shared" si="1"/>
        <v>0</v>
      </c>
      <c r="G82" s="5">
        <v>3.0</v>
      </c>
      <c r="H82" s="6"/>
      <c r="I82" s="2" t="s">
        <v>124</v>
      </c>
    </row>
    <row r="83" ht="22.5" customHeight="1">
      <c r="A83" s="2" t="s">
        <v>125</v>
      </c>
      <c r="B83" s="3">
        <v>2.0</v>
      </c>
      <c r="C83" s="3" t="s">
        <v>31</v>
      </c>
      <c r="D83" s="25"/>
      <c r="E83" s="21"/>
      <c r="F83" s="4">
        <f t="shared" si="1"/>
        <v>0</v>
      </c>
      <c r="G83" s="5">
        <v>2.0</v>
      </c>
      <c r="H83" s="6"/>
      <c r="I83" s="2" t="s">
        <v>124</v>
      </c>
    </row>
    <row r="84" ht="22.5" customHeight="1">
      <c r="A84" s="2" t="s">
        <v>126</v>
      </c>
      <c r="B84" s="3"/>
      <c r="C84" s="3" t="s">
        <v>44</v>
      </c>
      <c r="D84" s="21"/>
      <c r="E84" s="21"/>
      <c r="F84" s="4">
        <f t="shared" si="1"/>
        <v>0</v>
      </c>
      <c r="G84" s="6"/>
      <c r="H84" s="6">
        <v>46131.0</v>
      </c>
      <c r="I84" s="2" t="s">
        <v>127</v>
      </c>
    </row>
    <row r="85" ht="22.5" customHeight="1">
      <c r="A85" s="2" t="s">
        <v>128</v>
      </c>
      <c r="B85" s="3"/>
      <c r="C85" s="3" t="s">
        <v>44</v>
      </c>
      <c r="D85" s="21"/>
      <c r="E85" s="21"/>
      <c r="F85" s="4">
        <f t="shared" si="1"/>
        <v>0</v>
      </c>
      <c r="G85" s="6"/>
      <c r="H85" s="6">
        <v>46140.0</v>
      </c>
      <c r="I85" s="2" t="s">
        <v>129</v>
      </c>
    </row>
    <row r="86" ht="22.5" customHeight="1">
      <c r="A86" s="2" t="s">
        <v>130</v>
      </c>
      <c r="B86" s="3"/>
      <c r="C86" s="3" t="s">
        <v>44</v>
      </c>
      <c r="D86" s="21"/>
      <c r="E86" s="21"/>
      <c r="F86" s="4">
        <f t="shared" si="1"/>
        <v>0</v>
      </c>
      <c r="G86" s="5"/>
      <c r="H86" s="6">
        <v>46126.0</v>
      </c>
      <c r="I86" s="2" t="s">
        <v>131</v>
      </c>
    </row>
    <row r="87" ht="22.5" customHeight="1">
      <c r="A87" s="2" t="s">
        <v>132</v>
      </c>
      <c r="B87" s="3"/>
      <c r="C87" s="3" t="s">
        <v>44</v>
      </c>
      <c r="D87" s="21"/>
      <c r="E87" s="21"/>
      <c r="F87" s="4">
        <f t="shared" si="1"/>
        <v>0</v>
      </c>
      <c r="G87" s="6"/>
      <c r="H87" s="6">
        <v>46126.0</v>
      </c>
      <c r="I87" s="2" t="s">
        <v>133</v>
      </c>
    </row>
    <row r="88" ht="22.5" customHeight="1">
      <c r="A88" s="26" t="s">
        <v>1</v>
      </c>
      <c r="B88" s="27">
        <f>SUM(B2:B87)</f>
        <v>175</v>
      </c>
      <c r="C88" s="28" t="s">
        <v>10</v>
      </c>
      <c r="D88" s="29">
        <f t="shared" ref="D88:G88" si="2">SUM(D2:D87)</f>
        <v>79</v>
      </c>
      <c r="E88" s="30">
        <f t="shared" si="2"/>
        <v>23</v>
      </c>
      <c r="F88" s="31">
        <f t="shared" si="2"/>
        <v>102</v>
      </c>
      <c r="G88" s="31">
        <f t="shared" si="2"/>
        <v>158</v>
      </c>
      <c r="H88" s="32"/>
      <c r="I88" s="33"/>
    </row>
  </sheetData>
  <dataValidations>
    <dataValidation type="list" allowBlank="1" sqref="B2:B87 E2:E87">
      <formula1>"1,2,3,4,5,6,7,8"</formula1>
    </dataValidation>
    <dataValidation type="list" allowBlank="1" sqref="C2:C88">
      <formula1>"Nije pozvan,Pozvan,Odbijeno,Potvrđen dolazak"</formula1>
    </dataValidation>
    <dataValidation type="list" allowBlank="1" sqref="D2:D88">
      <formula1>"1,2,3,4,5,6,7,8"</formula1>
    </dataValidation>
    <dataValidation type="custom" allowBlank="1" showDropDown="1" sqref="H2:H88">
      <formula1>OR(NOT(ISERROR(DATEVALUE(H2))), AND(ISNUMBER(H2), LEFT(CELL("format", H2))="D"))</formula1>
    </dataValidation>
    <dataValidation allowBlank="1" showDropDown="1" sqref="A2:A88 I2:I88"/>
    <dataValidation type="custom" allowBlank="1" showDropDown="1" sqref="F2:F88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